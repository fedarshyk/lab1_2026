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haLab\lab1_2026\"/>
    </mc:Choice>
  </mc:AlternateContent>
  <xr:revisionPtr revIDLastSave="0" documentId="13_ncr:1_{F8472DB8-78A4-4269-9B35-C62C4E20A959}" xr6:coauthVersionLast="47" xr6:coauthVersionMax="47" xr10:uidLastSave="{00000000-0000-0000-0000-000000000000}"/>
  <bookViews>
    <workbookView xWindow="-120" yWindow="-17400" windowWidth="30960" windowHeight="16800" xr2:uid="{43840C9A-576F-488B-B11D-21A699DC727D}"/>
  </bookViews>
  <sheets>
    <sheet name="РасчетПоездки" sheetId="1" r:id="rId1"/>
  </sheets>
  <definedNames>
    <definedName name="battery_capacity_kwh">РасчетПоездки!$C$3</definedName>
    <definedName name="distance_km">РасчетПоездки!$C$1</definedName>
    <definedName name="duration_minutes">РасчетПоездки!$C$2</definedName>
    <definedName name="energy_used_kwh">РасчетПоездки!$C$10</definedName>
    <definedName name="finish_charge_percent">РасчетПоездки!$C$5</definedName>
    <definedName name="passengers">РасчетПоездки!$C$7</definedName>
    <definedName name="start_charge_percent">РасчетПоездки!$C$4</definedName>
    <definedName name="tariff_byn_per_kwh">РасчетПоездки!$C$6</definedName>
    <definedName name="time_hours">РасчетПоездки!$C$9</definedName>
    <definedName name="trip_cost_byn">РасчетПоездки!$C$13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 a="1"/>
  <c r="C14" i="1" s="1"/>
  <c r="C10" i="1" a="1"/>
  <c r="C10" i="1" s="1"/>
  <c r="C13" i="1" s="1" a="1"/>
  <c r="C13" i="1" s="1"/>
  <c r="C9" i="1"/>
  <c r="C11" i="1" s="1"/>
  <c r="C12" i="1" l="1" a="1"/>
  <c r="C1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<sst xmlns="http://schemas.openxmlformats.org/spreadsheetml/2006/main" count="26" uniqueCount="26">
  <si>
    <t>time_hours</t>
  </si>
  <si>
    <t>distance_km</t>
  </si>
  <si>
    <t>duration_minutes</t>
  </si>
  <si>
    <t>battery_capacity_kwh</t>
  </si>
  <si>
    <t>длина маршрута</t>
  </si>
  <si>
    <t xml:space="preserve">длительность поездки </t>
  </si>
  <si>
    <t>полная ёмкость батареи</t>
  </si>
  <si>
    <t>заряд в начале</t>
  </si>
  <si>
    <t>start_charge_percent</t>
  </si>
  <si>
    <t>заряд в конце</t>
  </si>
  <si>
    <t>finish_charge_percent</t>
  </si>
  <si>
    <t>стоимость энергии</t>
  </si>
  <si>
    <t>tariff_byn_per_kwh</t>
  </si>
  <si>
    <t>passengers</t>
  </si>
  <si>
    <t>число пассажиров</t>
  </si>
  <si>
    <t>длительность поездки в часах</t>
  </si>
  <si>
    <t xml:space="preserve">energy_used_kwh </t>
  </si>
  <si>
    <t>средняя скорость</t>
  </si>
  <si>
    <t>average_speed_kmh</t>
  </si>
  <si>
    <t xml:space="preserve">consumption_kwh_per_100km </t>
  </si>
  <si>
    <t>израсходовано энергии кВтч</t>
  </si>
  <si>
    <t>Потребление кВтч на 100 км</t>
  </si>
  <si>
    <t xml:space="preserve">trip_cost_byn </t>
  </si>
  <si>
    <t>Стоимость поездки BYN</t>
  </si>
  <si>
    <t xml:space="preserve">сost_per_passenger_byn </t>
  </si>
  <si>
    <t>Стоимость на одного пассажира BYN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</si>
</sst>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A655-6B2C-48C2-9EE2-7783420D0F02}">
  <dimension ref="A1:C14"/>
  <sheetViews>
    <sheetView tabSelected="1" workbookViewId="0"/>
  </sheetViews>
  <sheetFormatPr defaultRowHeight="15" x14ac:dyDescent="0.25"/>
  <cols>
    <col min="1" max="1" width="35.7109375" bestFit="1" customWidth="1"/>
    <col min="2" max="2" width="40.28515625" customWidth="1"/>
  </cols>
  <sheetData>
    <row r="1" spans="1:3" x14ac:dyDescent="0.25">
      <c r="A1" t="s">
        <v>4</v>
      </c>
      <c r="B1" t="s">
        <v>1</v>
      </c>
      <c r="C1">
        <v>50</v>
      </c>
    </row>
    <row r="2" spans="1:3" x14ac:dyDescent="0.25">
      <c r="A2" t="s">
        <v>5</v>
      </c>
      <c r="B2" t="s">
        <v>2</v>
      </c>
      <c r="C2">
        <v>60</v>
      </c>
    </row>
    <row r="3" spans="1:3" x14ac:dyDescent="0.25">
      <c r="A3" t="s">
        <v>6</v>
      </c>
      <c r="B3" t="s">
        <v>3</v>
      </c>
      <c r="C3">
        <v>18.399999999999999</v>
      </c>
    </row>
    <row r="4" spans="1:3" x14ac:dyDescent="0.25">
      <c r="A4" t="s">
        <v>7</v>
      </c>
      <c r="B4" t="s">
        <v>8</v>
      </c>
      <c r="C4">
        <v>80</v>
      </c>
    </row>
    <row r="5" spans="1:3" x14ac:dyDescent="0.25">
      <c r="A5" t="s">
        <v>9</v>
      </c>
      <c r="B5" t="s">
        <v>10</v>
      </c>
      <c r="C5">
        <v>30</v>
      </c>
    </row>
    <row r="6" spans="1:3" x14ac:dyDescent="0.25">
      <c r="A6" t="s">
        <v>11</v>
      </c>
      <c r="B6" t="s">
        <v>12</v>
      </c>
      <c r="C6">
        <v>0.48</v>
      </c>
    </row>
    <row r="7" spans="1:3" x14ac:dyDescent="0.25">
      <c r="A7" t="s">
        <v>14</v>
      </c>
      <c r="B7" t="s">
        <v>13</v>
      </c>
      <c r="C7">
        <v>2</v>
      </c>
    </row>
    <row r="9" spans="1:3" x14ac:dyDescent="0.25">
      <c r="A9" t="s">
        <v>15</v>
      </c>
      <c r="B9" t="s">
        <v>0</v>
      </c>
      <c r="C9">
        <f>duration_minutes/60</f>
        <v>1</v>
      </c>
    </row>
    <row r="10" spans="1:3" x14ac:dyDescent="0.25">
      <c r="A10" t="s">
        <v>20</v>
      </c>
      <c r="B10" t="s">
        <v>16</v>
      </c>
      <c r="C10" cm="1">
        <f t="array" ref="C10">battery_capacity_kwh*(start_charge_percent-finish_charge_percent)/100</f>
        <v>9.1999999999999993</v>
      </c>
    </row>
    <row r="11" spans="1:3" x14ac:dyDescent="0.25">
      <c r="A11" t="s">
        <v>17</v>
      </c>
      <c r="B11" t="s">
        <v>18</v>
      </c>
      <c r="C11">
        <f>distance_km/time_hours</f>
        <v>50</v>
      </c>
    </row>
    <row r="12" spans="1:3" x14ac:dyDescent="0.25">
      <c r="A12" t="s">
        <v>21</v>
      </c>
      <c r="B12" t="s">
        <v>19</v>
      </c>
      <c r="C12" cm="1">
        <f t="array" ref="C12">energy_used_kwh/distance_km*100</f>
        <v>18.399999999999999</v>
      </c>
    </row>
    <row r="13" spans="1:3" x14ac:dyDescent="0.25">
      <c r="A13" t="s">
        <v>23</v>
      </c>
      <c r="B13" t="s">
        <v>22</v>
      </c>
      <c r="C13" cm="1">
        <f t="array" ref="C13">energy_used_kwh*tariff_byn_per_kwh</f>
        <v>4.4159999999999995</v>
      </c>
    </row>
    <row r="14" spans="1:3" x14ac:dyDescent="0.25">
      <c r="A14" t="s">
        <v>25</v>
      </c>
      <c r="B14" t="s">
        <v>24</v>
      </c>
      <c r="C14" cm="1">
        <f t="array" ref="C14">trip_cost_byn/passengers</f>
        <v>2.2079999999999997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10</vt:i4>
      </vt:variant>
    </vt:vector>
  </HeadingPairs>
  <TitlesOfParts>
    <vt:vector size="11" baseType="lpstr">
      <vt:lpstr>РасчетПоездки</vt:lpstr>
      <vt:lpstr>battery_capacity_kwh</vt:lpstr>
      <vt:lpstr>distance_km</vt:lpstr>
      <vt:lpstr>duration_minutes</vt:lpstr>
      <vt:lpstr>energy_used_kwh</vt:lpstr>
      <vt:lpstr>finish_charge_percent</vt:lpstr>
      <vt:lpstr>passengers</vt:lpstr>
      <vt:lpstr>start_charge_percent</vt:lpstr>
      <vt:lpstr>tariff_byn_per_kwh</vt:lpstr>
      <vt:lpstr>time_hours</vt:lpstr>
      <vt:lpstr>trip_cost_byn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Fedar Shykhantsou</dc:creator>
  <cp:lastModifiedBy>Fedar Shykhantsou</cp:lastModifiedBy>
  <dcterms:created xsi:type="dcterms:W3CDTF">2026-09-05T13:07:46Z</dcterms:created>
  <dcterms:modified xsi:type="dcterms:W3CDTF">2026-09-05T13:52:21Z</dcterms:modified>
</cp:coreProperties>
</file>